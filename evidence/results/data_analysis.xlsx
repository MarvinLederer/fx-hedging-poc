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npaket für Kapitel 5 sammel" sheetId="1" r:id="rId5"/>
  </sheets>
  <definedNames/>
  <calcPr/>
</workbook>
</file>

<file path=xl/sharedStrings.xml><?xml version="1.0" encoding="utf-8"?>
<sst xmlns="http://schemas.openxmlformats.org/spreadsheetml/2006/main" count="28" uniqueCount="27">
  <si>
    <t>Category</t>
  </si>
  <si>
    <t>Action</t>
  </si>
  <si>
    <t>Tx Hash</t>
  </si>
  <si>
    <t>Gas Used</t>
  </si>
  <si>
    <t>Gas Price (Gwei)</t>
  </si>
  <si>
    <t>Fee (POL)</t>
  </si>
  <si>
    <t>Cost (EUR)*</t>
  </si>
  <si>
    <t>Setup</t>
  </si>
  <si>
    <t>Deploy FxSettlement</t>
  </si>
  <si>
    <t>0x57f2b0a1ff0692bf6943229ed402d137e60ffc8faf25edcdd186f6593eda3f2e</t>
  </si>
  <si>
    <t>Provisioning</t>
  </si>
  <si>
    <t>Mint Liquidity (SUSD)</t>
  </si>
  <si>
    <t>0x8bdd68ff1b934ce95fda25146f0ab74a78ee924e52f0fb510a6a9fb53a33e328</t>
  </si>
  <si>
    <t>Mint Liquidity (SEUR)</t>
  </si>
  <si>
    <t>0x57677d754ce235a81b206c7a0b1cc4c3869232129c5050b96c1af90c3ca2d8e2</t>
  </si>
  <si>
    <t>Governance</t>
  </si>
  <si>
    <t>Grant TRADER_ROLE</t>
  </si>
  <si>
    <t>0x21fb966e9a9707a4b4b7278e6b96c2a2f6e7744def8391e6d6359c2f38680f48</t>
  </si>
  <si>
    <t>Security</t>
  </si>
  <si>
    <t>Approve Allowance</t>
  </si>
  <si>
    <t>0xcb45802b8da431064fe8cdac9a29ec68542036997a1e51e3166c75829743ce8e</t>
  </si>
  <si>
    <t>Execution</t>
  </si>
  <si>
    <t>Execute Trade (Swap)</t>
  </si>
  <si>
    <t>0x05f144dedfba2ef7271c0b76e7509cee9bfeb3927482cdb2f0d0b372e29eef37</t>
  </si>
  <si>
    <t>TOTAL</t>
  </si>
  <si>
    <t>Full Lifecycle</t>
  </si>
  <si>
    <t>* POL/EUR Exchange Rate (08.02.2026)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</si>
</sst>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5">
    <font>
      <sz val="10.0"/>
      <color rgb="FF000000"/>
      <name val="Arial"/>
      <scheme val="minor"/>
    </font>
    <font>
      <sz val="10.0"/>
      <color theme="1"/>
      <name val="Google Sans Text"/>
    </font>
    <font>
      <color theme="1"/>
      <name val="Google Sans Text"/>
    </font>
    <font>
      <b/>
      <sz val="10.0"/>
      <color theme="1"/>
      <name val="Google Sans Text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3" fillId="0" fontId="2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1" numFmtId="0" xfId="0" applyBorder="1" applyFont="1"/>
    <xf borderId="5" fillId="0" fontId="1" numFmtId="3" xfId="0" applyAlignment="1" applyBorder="1" applyFont="1" applyNumberFormat="1">
      <alignment readingOrder="0"/>
    </xf>
    <xf borderId="5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  <col customWidth="1" min="3" max="3" width="62.88"/>
    <col customWidth="1" min="5" max="5" width="14.25"/>
    <col customWidth="1" min="6" max="6" width="22.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4" t="s">
        <v>9</v>
      </c>
      <c r="D2" s="5">
        <v>1907616.0</v>
      </c>
      <c r="E2" s="4">
        <v>75.804953544</v>
      </c>
      <c r="F2" s="3">
        <v>0.144606742259791</v>
      </c>
      <c r="G2" s="4">
        <f t="shared" ref="G2:G7" si="1">F2*G$10</f>
        <v>0.01191559556</v>
      </c>
    </row>
    <row r="3">
      <c r="A3" s="3" t="s">
        <v>10</v>
      </c>
      <c r="B3" s="3" t="s">
        <v>11</v>
      </c>
      <c r="C3" s="4" t="s">
        <v>12</v>
      </c>
      <c r="D3" s="5">
        <v>71259.0</v>
      </c>
      <c r="E3" s="4">
        <v>75.804953544</v>
      </c>
      <c r="F3" s="3">
        <v>0.00540178518459189</v>
      </c>
      <c r="G3" s="4">
        <f t="shared" si="1"/>
        <v>0.0004451070992</v>
      </c>
    </row>
    <row r="4">
      <c r="A4" s="3" t="s">
        <v>10</v>
      </c>
      <c r="B4" s="3" t="s">
        <v>13</v>
      </c>
      <c r="C4" s="4" t="s">
        <v>14</v>
      </c>
      <c r="D4" s="6">
        <v>71259.0</v>
      </c>
      <c r="E4" s="7">
        <v>86.461077542</v>
      </c>
      <c r="F4" s="8">
        <v>0.00616112992456537</v>
      </c>
      <c r="G4" s="4">
        <f t="shared" si="1"/>
        <v>0.0005076771058</v>
      </c>
    </row>
    <row r="5">
      <c r="A5" s="3" t="s">
        <v>15</v>
      </c>
      <c r="B5" s="3" t="s">
        <v>16</v>
      </c>
      <c r="C5" s="4" t="s">
        <v>17</v>
      </c>
      <c r="D5" s="5">
        <v>51997.0</v>
      </c>
      <c r="E5" s="4">
        <v>80.522313711</v>
      </c>
      <c r="F5" s="3">
        <v>0.00418691874603086</v>
      </c>
      <c r="G5" s="4">
        <f t="shared" si="1"/>
        <v>0.0003450021047</v>
      </c>
    </row>
    <row r="6">
      <c r="A6" s="3" t="s">
        <v>18</v>
      </c>
      <c r="B6" s="3" t="s">
        <v>19</v>
      </c>
      <c r="C6" s="4" t="s">
        <v>20</v>
      </c>
      <c r="D6" s="5">
        <v>46880.0</v>
      </c>
      <c r="E6" s="4">
        <v>75.660000063</v>
      </c>
      <c r="F6" s="3">
        <v>0.00354694080295344</v>
      </c>
      <c r="G6" s="4">
        <f t="shared" si="1"/>
        <v>0.0002922679222</v>
      </c>
    </row>
    <row r="7">
      <c r="A7" s="3" t="s">
        <v>21</v>
      </c>
      <c r="B7" s="3" t="s">
        <v>22</v>
      </c>
      <c r="C7" s="4" t="s">
        <v>23</v>
      </c>
      <c r="D7" s="5">
        <v>113705.0</v>
      </c>
      <c r="E7" s="4">
        <v>75.660000063</v>
      </c>
      <c r="F7" s="3">
        <v>0.00860292030716341</v>
      </c>
      <c r="G7" s="4">
        <f t="shared" si="1"/>
        <v>0.0007088806333</v>
      </c>
    </row>
    <row r="8">
      <c r="A8" s="9" t="s">
        <v>24</v>
      </c>
      <c r="B8" s="9" t="s">
        <v>25</v>
      </c>
      <c r="C8" s="10"/>
      <c r="D8" s="11">
        <f>SUM(D2:D7)</f>
        <v>2262716</v>
      </c>
      <c r="E8" s="12"/>
      <c r="F8" s="13">
        <f t="shared" ref="F8:G8" si="2">SUM(F2:F7)</f>
        <v>0.1725064372</v>
      </c>
      <c r="G8" s="12">
        <f t="shared" si="2"/>
        <v>0.01421453043</v>
      </c>
    </row>
    <row r="10">
      <c r="F10" s="14" t="s">
        <v>26</v>
      </c>
      <c r="G10" s="15">
        <v>0.0824</v>
      </c>
    </row>
  </sheetData>
  <drawing r:id="rId1"/>
</worksheet>
</file>